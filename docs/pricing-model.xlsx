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figuracja" sheetId="1" state="visible" r:id="rId1"/>
    <sheet name="Unit Economics" sheetId="2" state="visible" r:id="rId2"/>
    <sheet name="Scenariusze" sheetId="3" state="visible" r:id="rId3"/>
    <sheet name="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&quot; min&quot;"/>
    <numFmt numFmtId="166" formatCode="$#,##0.00"/>
    <numFmt numFmtId="167" formatCode="0.0%"/>
    <numFmt numFmtId="168" formatCode="#,##0.00&quot; PLN&quot;"/>
    <numFmt numFmtId="169" formatCode="#,##0&quot; PLN&quot;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8000"/>
      <sz val="11"/>
    </font>
    <font>
      <name val="Arial"/>
      <i val="1"/>
      <color rgb="009CA3AF"/>
      <sz val="11"/>
    </font>
    <font>
      <name val="Arial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2" fontId="3" fillId="2" borderId="1" pivotButton="0" quotePrefix="0" xfId="0"/>
    <xf numFmtId="166" fontId="3" fillId="2" borderId="1" pivotButton="0" quotePrefix="0" xfId="0"/>
    <xf numFmtId="167" fontId="3" fillId="2" borderId="1" pivotButton="0" quotePrefix="0" xfId="0"/>
    <xf numFmtId="168" fontId="2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0" borderId="1" pivotButton="0" quotePrefix="0" xfId="0"/>
    <xf numFmtId="169" fontId="3" fillId="2" borderId="1" pivotButton="0" quotePrefix="0" xfId="0"/>
    <xf numFmtId="0" fontId="2" fillId="0" borderId="1" pivotButton="0" quotePrefix="0" xfId="0"/>
    <xf numFmtId="169" fontId="2" fillId="0" borderId="1" pivotButton="0" quotePrefix="0" xfId="0"/>
    <xf numFmtId="169" fontId="7" fillId="0" borderId="1" pivotButton="0" quotePrefix="0" xfId="0"/>
    <xf numFmtId="165" fontId="7" fillId="0" borderId="1" pivotButton="0" quotePrefix="0" xfId="0"/>
    <xf numFmtId="167" fontId="7" fillId="0" borderId="1" pivotButton="0" quotePrefix="0" xfId="0"/>
    <xf numFmtId="3" fontId="3" fillId="2" borderId="1" pivotButton="0" quotePrefix="0" xfId="0"/>
    <xf numFmtId="165" fontId="2" fillId="0" borderId="1" pivotButton="0" quotePrefix="0" xfId="0"/>
    <xf numFmtId="169" fontId="6" fillId="0" borderId="1" pivotButton="0" quotePrefix="0" xfId="0"/>
    <xf numFmtId="167" fontId="2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165" fontId="6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ELEVENLABS - PARAMETRY</t>
        </is>
      </c>
    </row>
    <row r="3">
      <c r="A3" s="2" t="inlineStr">
        <is>
          <t>Plan ElevenLabs</t>
        </is>
      </c>
      <c r="B3" s="3" t="inlineStr">
        <is>
          <t>Pro</t>
        </is>
      </c>
    </row>
    <row r="4">
      <c r="A4" s="2" t="inlineStr">
        <is>
          <t>Koszt miesięczny (USD)</t>
        </is>
      </c>
      <c r="B4" s="4" t="n">
        <v>99</v>
      </c>
    </row>
    <row r="5">
      <c r="A5" s="2" t="inlineStr">
        <is>
          <t>Minuty w pakiecie</t>
        </is>
      </c>
      <c r="B5" s="5" t="n">
        <v>1100</v>
      </c>
    </row>
    <row r="6">
      <c r="A6" s="2" t="inlineStr">
        <is>
          <t>Kurs USD/PLN</t>
        </is>
      </c>
      <c r="B6" s="6" t="n">
        <v>4.08</v>
      </c>
    </row>
    <row r="7">
      <c r="A7" s="2" t="inlineStr">
        <is>
          <t>Hosting cost/min (USD)</t>
        </is>
      </c>
      <c r="B7" s="7" t="n">
        <v>0.09</v>
      </c>
    </row>
    <row r="8">
      <c r="A8" s="2" t="inlineStr">
        <is>
          <t>LLM tokens cost/min (USD)</t>
        </is>
      </c>
      <c r="B8" s="7" t="n">
        <v>0.03</v>
      </c>
    </row>
    <row r="9">
      <c r="A9" s="2" t="inlineStr">
        <is>
          <t>Additional min cost (USD, po limicie)</t>
        </is>
      </c>
      <c r="B9" s="7" t="n">
        <v>0.11</v>
      </c>
    </row>
    <row r="10">
      <c r="A10" s="2" t="inlineStr">
        <is>
          <t>Rabat roczny</t>
        </is>
      </c>
      <c r="B10" s="8" t="n">
        <v>0.2</v>
      </c>
    </row>
    <row r="12">
      <c r="A12" s="1" t="inlineStr">
        <is>
          <t>WYLICZONE</t>
        </is>
      </c>
    </row>
    <row r="13">
      <c r="A13" s="2" t="inlineStr">
        <is>
          <t>Koszt EL miesięczny (PLN)</t>
        </is>
      </c>
      <c r="B13" s="9">
        <f>B4*B6</f>
        <v/>
      </c>
    </row>
    <row r="14">
      <c r="A14" s="2" t="inlineStr">
        <is>
          <t>Koszt/min hosting (PLN)</t>
        </is>
      </c>
      <c r="B14" s="9">
        <f>B7*B6</f>
        <v/>
      </c>
    </row>
    <row r="15">
      <c r="A15" s="2" t="inlineStr">
        <is>
          <t>Koszt/min LLM (PLN)</t>
        </is>
      </c>
      <c r="B15" s="9">
        <f>B8*B6</f>
        <v/>
      </c>
    </row>
    <row r="16">
      <c r="A16" s="2" t="inlineStr">
        <is>
          <t>Koszt/min zmienny (hosting+LLM) PLN</t>
        </is>
      </c>
      <c r="B16" s="9">
        <f>B14+B15</f>
        <v/>
      </c>
    </row>
    <row r="17">
      <c r="A17" s="2" t="inlineStr">
        <is>
          <t>Koszt/min fully loaded (PLN)</t>
        </is>
      </c>
      <c r="B17" s="9">
        <f>B13/B5+B16</f>
        <v/>
      </c>
    </row>
    <row r="18">
      <c r="A18" s="2" t="inlineStr">
        <is>
          <t>Koszt/min po limicie (PLN)</t>
        </is>
      </c>
      <c r="B18" s="9">
        <f>(B7+B8+B9)*B6</f>
        <v/>
      </c>
    </row>
    <row r="21">
      <c r="A21" s="1" t="inlineStr">
        <is>
          <t>KONFIGURACJA TIERÓW</t>
        </is>
      </c>
    </row>
    <row r="22">
      <c r="A22" s="10" t="inlineStr">
        <is>
          <t>(niebieskie pola = edytowalne)</t>
        </is>
      </c>
    </row>
    <row r="23">
      <c r="A23" s="11" t="inlineStr">
        <is>
          <t>Tier</t>
        </is>
      </c>
      <c r="B23" s="11" t="inlineStr">
        <is>
          <t>Minuty/30 dni</t>
        </is>
      </c>
      <c r="C23" s="11" t="inlineStr">
        <is>
          <t>Cena mies. PLN</t>
        </is>
      </c>
      <c r="D23" s="11" t="inlineStr">
        <is>
          <t>Cena roczna PLN</t>
        </is>
      </c>
      <c r="E23" s="11" t="inlineStr">
        <is>
          <t>Cena roczna/mies</t>
        </is>
      </c>
      <c r="F23" s="11" t="inlineStr">
        <is>
          <t>Typ</t>
        </is>
      </c>
    </row>
    <row r="24">
      <c r="A24" s="12" t="inlineStr">
        <is>
          <t>Trial</t>
        </is>
      </c>
      <c r="B24" s="5" t="n">
        <v>30</v>
      </c>
      <c r="C24" s="13" t="n">
        <v>0</v>
      </c>
      <c r="D24" s="14" t="inlineStr">
        <is>
          <t>-</t>
        </is>
      </c>
      <c r="E24" s="14" t="inlineStr">
        <is>
          <t>-</t>
        </is>
      </c>
      <c r="F24" s="14" t="inlineStr">
        <is>
          <t>jednorazowy</t>
        </is>
      </c>
    </row>
    <row r="25">
      <c r="A25" s="12" t="inlineStr">
        <is>
          <t>Starter</t>
        </is>
      </c>
      <c r="B25" s="5" t="n">
        <v>90</v>
      </c>
      <c r="C25" s="13" t="n">
        <v>89</v>
      </c>
      <c r="D25" s="15">
        <f>ROUND(C25*12*(1-B10),0)</f>
        <v/>
      </c>
      <c r="E25" s="15">
        <f>ROUND(D25/12,0)</f>
        <v/>
      </c>
      <c r="F25" s="14" t="inlineStr">
        <is>
          <t>recurring</t>
        </is>
      </c>
    </row>
    <row r="26">
      <c r="A26" s="12" t="inlineStr">
        <is>
          <t>Pro</t>
        </is>
      </c>
      <c r="B26" s="5" t="n">
        <v>200</v>
      </c>
      <c r="C26" s="13" t="n">
        <v>179</v>
      </c>
      <c r="D26" s="15">
        <f>ROUND(C26*12*(1-B10),0)</f>
        <v/>
      </c>
      <c r="E26" s="15">
        <f>ROUND(D26/12,0)</f>
        <v/>
      </c>
      <c r="F26" s="14" t="inlineStr">
        <is>
          <t>recurring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UNIT ECONOMICS PER TIER</t>
        </is>
      </c>
    </row>
    <row r="3">
      <c r="A3" s="11" t="inlineStr">
        <is>
          <t>Metryka</t>
        </is>
      </c>
      <c r="B3" s="11" t="inlineStr">
        <is>
          <t>Trial</t>
        </is>
      </c>
      <c r="C3" s="11" t="inlineStr">
        <is>
          <t>Starter mies.</t>
        </is>
      </c>
      <c r="D3" s="11" t="inlineStr">
        <is>
          <t>Starter roczny</t>
        </is>
      </c>
      <c r="E3" s="11" t="inlineStr">
        <is>
          <t>Pro mies.</t>
        </is>
      </c>
      <c r="F3" s="11" t="inlineStr">
        <is>
          <t>Pro roczny</t>
        </is>
      </c>
    </row>
    <row r="4">
      <c r="A4" s="12" t="inlineStr">
        <is>
          <t>Cena (PLN)</t>
        </is>
      </c>
      <c r="B4" s="16">
        <f>Konfiguracja!C24</f>
        <v/>
      </c>
      <c r="C4" s="16">
        <f>Konfiguracja!C25</f>
        <v/>
      </c>
      <c r="D4" s="16">
        <f>Konfiguracja!E25</f>
        <v/>
      </c>
      <c r="E4" s="16">
        <f>Konfiguracja!C26</f>
        <v/>
      </c>
      <c r="F4" s="16">
        <f>Konfiguracja!E26</f>
        <v/>
      </c>
    </row>
    <row r="5">
      <c r="A5" s="12" t="inlineStr">
        <is>
          <t>Minuty</t>
        </is>
      </c>
      <c r="B5" s="17">
        <f>Konfiguracja!B24</f>
        <v/>
      </c>
      <c r="C5" s="17">
        <f>Konfiguracja!B25</f>
        <v/>
      </c>
      <c r="D5" s="17">
        <f>Konfiguracja!B25</f>
        <v/>
      </c>
      <c r="E5" s="17">
        <f>Konfiguracja!B26</f>
        <v/>
      </c>
      <c r="F5" s="17">
        <f>Konfiguracja!B26</f>
        <v/>
      </c>
    </row>
    <row r="6">
      <c r="A6" s="12" t="inlineStr">
        <is>
          <t>Koszt MAX (fully loaded)</t>
        </is>
      </c>
      <c r="B6" s="16">
        <f>B5*Konfiguracja!B17</f>
        <v/>
      </c>
      <c r="C6" s="16">
        <f>C5*Konfiguracja!B17</f>
        <v/>
      </c>
      <c r="D6" s="16">
        <f>D5*Konfiguracja!B17</f>
        <v/>
      </c>
      <c r="E6" s="16">
        <f>E5*Konfiguracja!B17</f>
        <v/>
      </c>
      <c r="F6" s="16">
        <f>F5*Konfiguracja!B17</f>
        <v/>
      </c>
    </row>
    <row r="7">
      <c r="A7" s="12" t="inlineStr">
        <is>
          <t>Koszt 60%</t>
        </is>
      </c>
      <c r="B7" s="16">
        <f>B5*0.6*Konfiguracja!B17</f>
        <v/>
      </c>
      <c r="C7" s="16">
        <f>C5*0.6*Konfiguracja!B17</f>
        <v/>
      </c>
      <c r="D7" s="16">
        <f>D5*0.6*Konfiguracja!B17</f>
        <v/>
      </c>
      <c r="E7" s="16">
        <f>E5*0.6*Konfiguracja!B17</f>
        <v/>
      </c>
      <c r="F7" s="16">
        <f>F5*0.6*Konfiguracja!B17</f>
        <v/>
      </c>
    </row>
    <row r="8">
      <c r="A8" s="12" t="inlineStr">
        <is>
          <t>Marża MAX (PLN)</t>
        </is>
      </c>
      <c r="B8" s="16">
        <f>B4-B6</f>
        <v/>
      </c>
      <c r="C8" s="16">
        <f>C4-C6</f>
        <v/>
      </c>
      <c r="D8" s="16">
        <f>D4-D6</f>
        <v/>
      </c>
      <c r="E8" s="16">
        <f>E4-E6</f>
        <v/>
      </c>
      <c r="F8" s="16">
        <f>F4-F6</f>
        <v/>
      </c>
    </row>
    <row r="9">
      <c r="A9" s="12" t="inlineStr">
        <is>
          <t>Marża MAX (%)</t>
        </is>
      </c>
      <c r="B9" s="18">
        <f>IF(B4=0,"-",B8/B4)</f>
        <v/>
      </c>
      <c r="C9" s="18">
        <f>C8/C4</f>
        <v/>
      </c>
      <c r="D9" s="18">
        <f>D8/D4</f>
        <v/>
      </c>
      <c r="E9" s="18">
        <f>E8/E4</f>
        <v/>
      </c>
      <c r="F9" s="18">
        <f>F8/F4</f>
        <v/>
      </c>
    </row>
    <row r="10">
      <c r="A10" s="12" t="inlineStr">
        <is>
          <t>Marża 60% (PLN)</t>
        </is>
      </c>
      <c r="B10" s="16">
        <f>B4-B7</f>
        <v/>
      </c>
      <c r="C10" s="16">
        <f>C4-C7</f>
        <v/>
      </c>
      <c r="D10" s="16">
        <f>D4-D7</f>
        <v/>
      </c>
      <c r="E10" s="16">
        <f>E4-E7</f>
        <v/>
      </c>
      <c r="F10" s="16">
        <f>F4-F7</f>
        <v/>
      </c>
    </row>
    <row r="11">
      <c r="A11" s="12" t="inlineStr">
        <is>
          <t>Marża 60% (%)</t>
        </is>
      </c>
      <c r="B11" s="18">
        <f>IF(B4=0,"-",B10/B4)</f>
        <v/>
      </c>
      <c r="C11" s="18">
        <f>C10/C4</f>
        <v/>
      </c>
      <c r="D11" s="18">
        <f>D10/D4</f>
        <v/>
      </c>
      <c r="E11" s="18">
        <f>E10/E4</f>
        <v/>
      </c>
      <c r="F11" s="18">
        <f>F10/F4</f>
        <v/>
      </c>
    </row>
    <row r="12">
      <c r="A12" s="12" t="inlineStr">
        <is>
          <t>Break-even usage %</t>
        </is>
      </c>
      <c r="B12" s="18">
        <f>IF(B4=0,"-",B4/(B5*Konfiguracja!B17))</f>
        <v/>
      </c>
      <c r="C12" s="18">
        <f>C4/(C5*Konfiguracja!B17)</f>
        <v/>
      </c>
      <c r="D12" s="18">
        <f>D4/(D5*Konfiguracja!B17)</f>
        <v/>
      </c>
      <c r="E12" s="18">
        <f>E4/(E5*Konfiguracja!B17)</f>
        <v/>
      </c>
      <c r="F12" s="18">
        <f>F4/(F5*Konfiguracja!B17)</f>
        <v/>
      </c>
    </row>
    <row r="16">
      <c r="A16" s="1" t="inlineStr">
        <is>
          <t>PORÓWNANIE PLANÓW ELEVENLABS</t>
        </is>
      </c>
    </row>
    <row r="17">
      <c r="A17" s="11" t="inlineStr">
        <is>
          <t>Plan EL</t>
        </is>
      </c>
      <c r="B17" s="11" t="inlineStr">
        <is>
          <t>Koszt/mies USD</t>
        </is>
      </c>
      <c r="C17" s="11" t="inlineStr">
        <is>
          <t>Minuty</t>
        </is>
      </c>
      <c r="D17" s="11" t="inlineStr">
        <is>
          <t>Koszt/mies PLN</t>
        </is>
      </c>
      <c r="E17" s="11" t="inlineStr">
        <is>
          <t>Koszt/min loaded PLN</t>
        </is>
      </c>
      <c r="F17" s="11" t="inlineStr">
        <is>
          <t>Starter marża MAX</t>
        </is>
      </c>
      <c r="G17" s="11" t="inlineStr">
        <is>
          <t>Pro marża MAX</t>
        </is>
      </c>
    </row>
    <row r="18">
      <c r="A18" s="12" t="inlineStr">
        <is>
          <t>Pro</t>
        </is>
      </c>
      <c r="B18" s="4" t="n">
        <v>99</v>
      </c>
      <c r="C18" s="5" t="n">
        <v>1100</v>
      </c>
      <c r="D18" s="15">
        <f>B18*Konfiguracja!B6</f>
        <v/>
      </c>
      <c r="E18" s="9">
        <f>D18/C18+Konfiguracja!B14+Konfiguracja!B15</f>
        <v/>
      </c>
      <c r="F18" s="15">
        <f>Konfiguracja!C25-Konfiguracja!B25*E18</f>
        <v/>
      </c>
      <c r="G18" s="15">
        <f>Konfiguracja!C26-Konfiguracja!B26*E18</f>
        <v/>
      </c>
    </row>
    <row r="19">
      <c r="A19" s="12" t="inlineStr">
        <is>
          <t>Scale</t>
        </is>
      </c>
      <c r="B19" s="4" t="n">
        <v>299</v>
      </c>
      <c r="C19" s="5" t="n">
        <v>3600</v>
      </c>
      <c r="D19" s="15">
        <f>B19*Konfiguracja!B6</f>
        <v/>
      </c>
      <c r="E19" s="9">
        <f>D19/C19+Konfiguracja!B14+Konfiguracja!B15</f>
        <v/>
      </c>
      <c r="F19" s="15">
        <f>Konfiguracja!C25-Konfiguracja!B25*E19</f>
        <v/>
      </c>
      <c r="G19" s="15">
        <f>Konfiguracja!C26-Konfiguracja!B26*E19</f>
        <v/>
      </c>
    </row>
    <row r="20">
      <c r="A20" s="12" t="inlineStr">
        <is>
          <t>Business</t>
        </is>
      </c>
      <c r="B20" s="4" t="n">
        <v>990</v>
      </c>
      <c r="C20" s="5" t="n">
        <v>13750</v>
      </c>
      <c r="D20" s="15">
        <f>B20*Konfiguracja!B6</f>
        <v/>
      </c>
      <c r="E20" s="9">
        <f>D20/C20+Konfiguracja!B14+Konfiguracja!B15</f>
        <v/>
      </c>
      <c r="F20" s="15">
        <f>Konfiguracja!C25-Konfiguracja!B25*E20</f>
        <v/>
      </c>
      <c r="G20" s="15">
        <f>Konfiguracja!C26-Konfiguracja!B26*E20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</cols>
  <sheetData>
    <row r="1">
      <c r="A1" s="1" t="inlineStr">
        <is>
          <t>SCENARIUSZE PRZYCHODÓW I KOSZTÓW</t>
        </is>
      </c>
    </row>
    <row r="2">
      <c r="A2" s="10" t="inlineStr">
        <is>
          <t>(niebieskie pola = edytowalne liczby userów)</t>
        </is>
      </c>
    </row>
    <row r="4">
      <c r="A4" s="11" t="inlineStr">
        <is>
          <t>Scenariusz</t>
        </is>
      </c>
      <c r="B4" s="11" t="inlineStr">
        <is>
          <t>Trial</t>
        </is>
      </c>
      <c r="C4" s="11" t="inlineStr">
        <is>
          <t>Starter
mies.</t>
        </is>
      </c>
      <c r="D4" s="11" t="inlineStr">
        <is>
          <t>Starter
roczny</t>
        </is>
      </c>
      <c r="E4" s="11" t="inlineStr">
        <is>
          <t>Pro
mies.</t>
        </is>
      </c>
      <c r="F4" s="11" t="inlineStr">
        <is>
          <t>Pro
roczny</t>
        </is>
      </c>
      <c r="G4" s="11" t="inlineStr">
        <is>
          <t>Minuty
(60%)</t>
        </is>
      </c>
      <c r="H4" s="11" t="inlineStr">
        <is>
          <t>Minuty
(MAX)</t>
        </is>
      </c>
      <c r="I4" s="11" t="inlineStr">
        <is>
          <t>Mieści w
EL limit?</t>
        </is>
      </c>
      <c r="J4" s="11" t="inlineStr">
        <is>
          <t>Przychód
mies. PLN</t>
        </is>
      </c>
      <c r="K4" s="11" t="inlineStr">
        <is>
          <t>Koszt EL
(60%) PLN</t>
        </is>
      </c>
      <c r="L4" s="11" t="inlineStr">
        <is>
          <t>Koszt EL
(MAX) PLN</t>
        </is>
      </c>
      <c r="M4" s="11" t="inlineStr">
        <is>
          <t>Marża
(60%)</t>
        </is>
      </c>
      <c r="N4" s="11" t="inlineStr">
        <is>
          <t>Marża %
(60%)</t>
        </is>
      </c>
    </row>
    <row r="5">
      <c r="A5" s="12" t="inlineStr">
        <is>
          <t>Launch</t>
        </is>
      </c>
      <c r="B5" s="19" t="n">
        <v>5</v>
      </c>
      <c r="C5" s="19" t="n">
        <v>2</v>
      </c>
      <c r="D5" s="19" t="n">
        <v>0</v>
      </c>
      <c r="E5" s="19" t="n">
        <v>0</v>
      </c>
      <c r="F5" s="19" t="n">
        <v>0</v>
      </c>
      <c r="G5" s="20">
        <f>B5*Konfiguracja!B24*0.6 + (C5+D5)*Konfiguracja!B25*0.6 + (E5+F5)*Konfiguracja!B26*0.6</f>
        <v/>
      </c>
      <c r="H5" s="20">
        <f>B5*Konfiguracja!B24 + (C5+D5)*Konfiguracja!B25 + (E5+F5)*Konfiguracja!B26</f>
        <v/>
      </c>
      <c r="I5" s="14">
        <f>IF(G5&lt;=Konfiguracja!B5,"TAK","NIE")</f>
        <v/>
      </c>
      <c r="J5" s="15">
        <f>C5*Konfiguracja!C25 + D5*Konfiguracja!E25 + E5*Konfiguracja!C26 + F5*Konfiguracja!E26</f>
        <v/>
      </c>
      <c r="K5" s="15">
        <f>G5*Konfiguracja!B17</f>
        <v/>
      </c>
      <c r="L5" s="15">
        <f>H5*Konfiguracja!B17</f>
        <v/>
      </c>
      <c r="M5" s="21">
        <f>J5-K5</f>
        <v/>
      </c>
      <c r="N5" s="22">
        <f>IF(J5=0,"-",M5/J5)</f>
        <v/>
      </c>
    </row>
    <row r="6">
      <c r="A6" s="12" t="inlineStr">
        <is>
          <t>3 miesiące</t>
        </is>
      </c>
      <c r="B6" s="19" t="n">
        <v>3</v>
      </c>
      <c r="C6" s="19" t="n">
        <v>5</v>
      </c>
      <c r="D6" s="19" t="n">
        <v>0</v>
      </c>
      <c r="E6" s="19" t="n">
        <v>2</v>
      </c>
      <c r="F6" s="19" t="n">
        <v>0</v>
      </c>
      <c r="G6" s="20">
        <f>B6*Konfiguracja!B24*0.6 + (C6+D6)*Konfiguracja!B25*0.6 + (E6+F6)*Konfiguracja!B26*0.6</f>
        <v/>
      </c>
      <c r="H6" s="20">
        <f>B6*Konfiguracja!B24 + (C6+D6)*Konfiguracja!B25 + (E6+F6)*Konfiguracja!B26</f>
        <v/>
      </c>
      <c r="I6" s="14">
        <f>IF(G6&lt;=Konfiguracja!B5,"TAK","NIE")</f>
        <v/>
      </c>
      <c r="J6" s="15">
        <f>C6*Konfiguracja!C25 + D6*Konfiguracja!E25 + E6*Konfiguracja!C26 + F6*Konfiguracja!E26</f>
        <v/>
      </c>
      <c r="K6" s="15">
        <f>G6*Konfiguracja!B17</f>
        <v/>
      </c>
      <c r="L6" s="15">
        <f>H6*Konfiguracja!B17</f>
        <v/>
      </c>
      <c r="M6" s="21">
        <f>J6-K6</f>
        <v/>
      </c>
      <c r="N6" s="22">
        <f>IF(J6=0,"-",M6/J6)</f>
        <v/>
      </c>
    </row>
    <row r="7">
      <c r="A7" s="12" t="inlineStr">
        <is>
          <t>6 miesięcy</t>
        </is>
      </c>
      <c r="B7" s="19" t="n">
        <v>2</v>
      </c>
      <c r="C7" s="19" t="n">
        <v>3</v>
      </c>
      <c r="D7" s="19" t="n">
        <v>5</v>
      </c>
      <c r="E7" s="19" t="n">
        <v>2</v>
      </c>
      <c r="F7" s="19" t="n">
        <v>3</v>
      </c>
      <c r="G7" s="20">
        <f>B7*Konfiguracja!B24*0.6 + (C7+D7)*Konfiguracja!B25*0.6 + (E7+F7)*Konfiguracja!B26*0.6</f>
        <v/>
      </c>
      <c r="H7" s="20">
        <f>B7*Konfiguracja!B24 + (C7+D7)*Konfiguracja!B25 + (E7+F7)*Konfiguracja!B26</f>
        <v/>
      </c>
      <c r="I7" s="14">
        <f>IF(G7&lt;=Konfiguracja!B5,"TAK","NIE")</f>
        <v/>
      </c>
      <c r="J7" s="15">
        <f>C7*Konfiguracja!C25 + D7*Konfiguracja!E25 + E7*Konfiguracja!C26 + F7*Konfiguracja!E26</f>
        <v/>
      </c>
      <c r="K7" s="15">
        <f>G7*Konfiguracja!B17</f>
        <v/>
      </c>
      <c r="L7" s="15">
        <f>H7*Konfiguracja!B17</f>
        <v/>
      </c>
      <c r="M7" s="21">
        <f>J7-K7</f>
        <v/>
      </c>
      <c r="N7" s="22">
        <f>IF(J7=0,"-",M7/J7)</f>
        <v/>
      </c>
    </row>
    <row r="8">
      <c r="A8" s="12" t="inlineStr">
        <is>
          <t>Rok</t>
        </is>
      </c>
      <c r="B8" s="19" t="n">
        <v>1</v>
      </c>
      <c r="C8" s="19" t="n">
        <v>5</v>
      </c>
      <c r="D8" s="19" t="n">
        <v>10</v>
      </c>
      <c r="E8" s="19" t="n">
        <v>3</v>
      </c>
      <c r="F8" s="19" t="n">
        <v>7</v>
      </c>
      <c r="G8" s="20">
        <f>B8*Konfiguracja!B24*0.6 + (C8+D8)*Konfiguracja!B25*0.6 + (E8+F8)*Konfiguracja!B26*0.6</f>
        <v/>
      </c>
      <c r="H8" s="20">
        <f>B8*Konfiguracja!B24 + (C8+D8)*Konfiguracja!B25 + (E8+F8)*Konfiguracja!B26</f>
        <v/>
      </c>
      <c r="I8" s="14">
        <f>IF(G8&lt;=Konfiguracja!B5,"TAK","NIE")</f>
        <v/>
      </c>
      <c r="J8" s="15">
        <f>C8*Konfiguracja!C25 + D8*Konfiguracja!E25 + E8*Konfiguracja!C26 + F8*Konfiguracja!E26</f>
        <v/>
      </c>
      <c r="K8" s="15">
        <f>G8*Konfiguracja!B17</f>
        <v/>
      </c>
      <c r="L8" s="15">
        <f>H8*Konfiguracja!B17</f>
        <v/>
      </c>
      <c r="M8" s="21">
        <f>J8-K8</f>
        <v/>
      </c>
      <c r="N8" s="22">
        <f>IF(J8=0,"-",M8/J8)</f>
        <v/>
      </c>
    </row>
    <row r="9">
      <c r="A9" s="12" t="inlineStr">
        <is>
          <t>Scale needed</t>
        </is>
      </c>
      <c r="B9" s="19" t="n">
        <v>0</v>
      </c>
      <c r="C9" s="19" t="n">
        <v>10</v>
      </c>
      <c r="D9" s="19" t="n">
        <v>10</v>
      </c>
      <c r="E9" s="19" t="n">
        <v>8</v>
      </c>
      <c r="F9" s="19" t="n">
        <v>7</v>
      </c>
      <c r="G9" s="20">
        <f>B9*Konfiguracja!B24*0.6 + (C9+D9)*Konfiguracja!B25*0.6 + (E9+F9)*Konfiguracja!B26*0.6</f>
        <v/>
      </c>
      <c r="H9" s="20">
        <f>B9*Konfiguracja!B24 + (C9+D9)*Konfiguracja!B25 + (E9+F9)*Konfiguracja!B26</f>
        <v/>
      </c>
      <c r="I9" s="14">
        <f>IF(G9&lt;=Konfiguracja!B5,"TAK","NIE")</f>
        <v/>
      </c>
      <c r="J9" s="15">
        <f>C9*Konfiguracja!C25 + D9*Konfiguracja!E25 + E9*Konfiguracja!C26 + F9*Konfiguracja!E26</f>
        <v/>
      </c>
      <c r="K9" s="15">
        <f>G9*Konfiguracja!B17</f>
        <v/>
      </c>
      <c r="L9" s="15">
        <f>H9*Konfiguracja!B17</f>
        <v/>
      </c>
      <c r="M9" s="21">
        <f>J9-K9</f>
        <v/>
      </c>
      <c r="N9" s="22">
        <f>IF(J9=0,"-",M9/J9)</f>
        <v/>
      </c>
    </row>
    <row r="10">
      <c r="A10" s="23" t="inlineStr">
        <is>
          <t>Własny 1</t>
        </is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20">
        <f>B10*Konfiguracja!B24*0.6 + (C10+D10)*Konfiguracja!B25*0.6 + (E10+F10)*Konfiguracja!B26*0.6</f>
        <v/>
      </c>
      <c r="H10" s="20">
        <f>B10*Konfiguracja!B24 + (C10+D10)*Konfiguracja!B25 + (E10+F10)*Konfiguracja!B26</f>
        <v/>
      </c>
      <c r="I10" s="14">
        <f>IF(G10&lt;=Konfiguracja!B5,"TAK","NIE")</f>
        <v/>
      </c>
      <c r="J10" s="15">
        <f>C10*Konfiguracja!C25 + D10*Konfiguracja!E25 + E10*Konfiguracja!C26 + F10*Konfiguracja!E26</f>
        <v/>
      </c>
      <c r="K10" s="15">
        <f>G10*Konfiguracja!B17</f>
        <v/>
      </c>
      <c r="L10" s="15">
        <f>H10*Konfiguracja!B17</f>
        <v/>
      </c>
      <c r="M10" s="21">
        <f>J10-K10</f>
        <v/>
      </c>
      <c r="N10" s="22">
        <f>IF(J10=0,"-",M10/J10)</f>
        <v/>
      </c>
    </row>
    <row r="11">
      <c r="A11" s="23" t="inlineStr">
        <is>
          <t>Własny 2</t>
        </is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20">
        <f>B11*Konfiguracja!B24*0.6 + (C11+D11)*Konfiguracja!B25*0.6 + (E11+F11)*Konfiguracja!B26*0.6</f>
        <v/>
      </c>
      <c r="H11" s="20">
        <f>B11*Konfiguracja!B24 + (C11+D11)*Konfiguracja!B25 + (E11+F11)*Konfiguracja!B26</f>
        <v/>
      </c>
      <c r="I11" s="14">
        <f>IF(G11&lt;=Konfiguracja!B5,"TAK","NIE")</f>
        <v/>
      </c>
      <c r="J11" s="15">
        <f>C11*Konfiguracja!C25 + D11*Konfiguracja!E25 + E11*Konfiguracja!C26 + F11*Konfiguracja!E26</f>
        <v/>
      </c>
      <c r="K11" s="15">
        <f>G11*Konfiguracja!B17</f>
        <v/>
      </c>
      <c r="L11" s="15">
        <f>H11*Konfiguracja!B17</f>
        <v/>
      </c>
      <c r="M11" s="21">
        <f>J11-K11</f>
        <v/>
      </c>
      <c r="N11" s="22">
        <f>IF(J11=0,"-",M11/J11)</f>
        <v/>
      </c>
    </row>
    <row r="12">
      <c r="A12" s="23" t="inlineStr">
        <is>
          <t>Własny 3</t>
        </is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20">
        <f>B12*Konfiguracja!B24*0.6 + (C12+D12)*Konfiguracja!B25*0.6 + (E12+F12)*Konfiguracja!B26*0.6</f>
        <v/>
      </c>
      <c r="H12" s="20">
        <f>B12*Konfiguracja!B24 + (C12+D12)*Konfiguracja!B25 + (E12+F12)*Konfiguracja!B26</f>
        <v/>
      </c>
      <c r="I12" s="14">
        <f>IF(G12&lt;=Konfiguracja!B5,"TAK","NIE")</f>
        <v/>
      </c>
      <c r="J12" s="15">
        <f>C12*Konfiguracja!C25 + D12*Konfiguracja!E25 + E12*Konfiguracja!C26 + F12*Konfiguracja!E26</f>
        <v/>
      </c>
      <c r="K12" s="15">
        <f>G12*Konfiguracja!B17</f>
        <v/>
      </c>
      <c r="L12" s="15">
        <f>H12*Konfiguracja!B17</f>
        <v/>
      </c>
      <c r="M12" s="21">
        <f>J12-K12</f>
        <v/>
      </c>
      <c r="N12" s="22">
        <f>IF(J12=0,"-",M12/J12)</f>
        <v/>
      </c>
    </row>
    <row r="14">
      <c r="A14" s="24" t="inlineStr">
        <is>
          <t>UWAGA: Koszty powyżej = koszt minut. Dodaj koszt subskrypcji EL:</t>
        </is>
      </c>
    </row>
    <row r="15">
      <c r="A15" s="2" t="inlineStr">
        <is>
          <t>Subskrypcja EL (PLN/mies)</t>
        </is>
      </c>
      <c r="B15" s="16">
        <f>Konfiguracja!B13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CAPACITY — ILU USERÓW MIEŚCISZ</t>
        </is>
      </c>
    </row>
    <row r="3">
      <c r="A3" s="11" t="inlineStr">
        <is>
          <t>Metryka</t>
        </is>
      </c>
      <c r="B3" s="11" t="inlineStr">
        <is>
          <t>Pro ($99)</t>
        </is>
      </c>
      <c r="C3" s="11" t="inlineStr">
        <is>
          <t>Scale ($299)</t>
        </is>
      </c>
      <c r="D3" s="11" t="inlineStr">
        <is>
          <t>Business ($990)</t>
        </is>
      </c>
    </row>
    <row r="4">
      <c r="A4" s="12" t="inlineStr">
        <is>
          <t>Koszt/mies USD</t>
        </is>
      </c>
      <c r="B4" s="4" t="n">
        <v>99</v>
      </c>
      <c r="C4" s="4" t="n">
        <v>299</v>
      </c>
      <c r="D4" s="4" t="n">
        <v>990</v>
      </c>
    </row>
    <row r="5">
      <c r="A5" s="12" t="inlineStr">
        <is>
          <t>Minuty w pakiecie</t>
        </is>
      </c>
      <c r="B5" s="5" t="n">
        <v>1100</v>
      </c>
      <c r="C5" s="5" t="n">
        <v>3600</v>
      </c>
      <c r="D5" s="5" t="n">
        <v>13750</v>
      </c>
    </row>
    <row r="6">
      <c r="A6" s="12" t="inlineStr">
        <is>
          <t>Trial users (rezerwa)</t>
        </is>
      </c>
      <c r="B6" s="19" t="n">
        <v>5</v>
      </c>
      <c r="C6" s="19" t="n">
        <v>5</v>
      </c>
      <c r="D6" s="19" t="n">
        <v>5</v>
      </c>
    </row>
    <row r="7">
      <c r="A7" s="12" t="inlineStr">
        <is>
          <t>Min zarezerwowane trial (60%)</t>
        </is>
      </c>
      <c r="B7" s="20">
        <f>B6*Konfiguracja!B24*0.6</f>
        <v/>
      </c>
      <c r="C7" s="20">
        <f>C6*Konfiguracja!B24*0.6</f>
        <v/>
      </c>
      <c r="D7" s="20">
        <f>D6*Konfiguracja!B24*0.6</f>
        <v/>
      </c>
    </row>
    <row r="8">
      <c r="A8" s="12" t="inlineStr">
        <is>
          <t>Minuty dla płatnych</t>
        </is>
      </c>
      <c r="B8" s="25">
        <f>B5-B7</f>
        <v/>
      </c>
      <c r="C8" s="25">
        <f>C5-C7</f>
        <v/>
      </c>
      <c r="D8" s="25">
        <f>D5-D7</f>
        <v/>
      </c>
    </row>
    <row r="9">
      <c r="A9" s="14" t="inlineStr"/>
    </row>
    <row r="10">
      <c r="A10" s="12" t="inlineStr">
        <is>
          <t>Max Starter users (60%)</t>
        </is>
      </c>
      <c r="B10" s="26">
        <f>FLOOR(B8/(Konfiguracja!B25*0.6),1)</f>
        <v/>
      </c>
      <c r="C10" s="26">
        <f>FLOOR(C8/(Konfiguracja!B25*0.6),1)</f>
        <v/>
      </c>
      <c r="D10" s="26">
        <f>FLOOR(D8/(Konfiguracja!B25*0.6),1)</f>
        <v/>
      </c>
    </row>
    <row r="11">
      <c r="A11" s="12" t="inlineStr">
        <is>
          <t>Max Starter users (MAX)</t>
        </is>
      </c>
      <c r="B11" s="26">
        <f>FLOOR(B8/Konfiguracja!B25,1)</f>
        <v/>
      </c>
      <c r="C11" s="26">
        <f>FLOOR(C8/Konfiguracja!B25,1)</f>
        <v/>
      </c>
      <c r="D11" s="26">
        <f>FLOOR(D8/Konfiguracja!B25,1)</f>
        <v/>
      </c>
    </row>
    <row r="12">
      <c r="A12" s="12" t="inlineStr">
        <is>
          <t>Max Pro users (60%)</t>
        </is>
      </c>
      <c r="B12" s="26">
        <f>FLOOR(B8/(Konfiguracja!B26*0.6),1)</f>
        <v/>
      </c>
      <c r="C12" s="26">
        <f>FLOOR(C8/(Konfiguracja!B26*0.6),1)</f>
        <v/>
      </c>
      <c r="D12" s="26">
        <f>FLOOR(D8/(Konfiguracja!B26*0.6),1)</f>
        <v/>
      </c>
    </row>
    <row r="13">
      <c r="A13" s="12" t="inlineStr">
        <is>
          <t>Max Pro users (MAX)</t>
        </is>
      </c>
      <c r="B13" s="26">
        <f>FLOOR(B8/Konfiguracja!B26,1)</f>
        <v/>
      </c>
      <c r="C13" s="26">
        <f>FLOOR(C8/Konfiguracja!B26,1)</f>
        <v/>
      </c>
      <c r="D13" s="26">
        <f>FLOOR(D8/Konfiguracja!B26,1)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2026-06-06T16:58:43Z</dcterms:created>
  <dcterms:modified xsi:type="dcterms:W3CDTF">2026-06-06T16:58:43Z</dcterms:modified>
</cp:coreProperties>
</file>